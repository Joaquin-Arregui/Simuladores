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to 1" sheetId="1" state="visible" r:id="rId3"/>
    <sheet name="Hito 2" sheetId="2" state="visible" r:id="rId4"/>
    <sheet name="Hito 3" sheetId="3" state="visible" r:id="rId5"/>
    <sheet name="Hito 4" sheetId="4" state="visible" r:id="rId6"/>
    <sheet name="Hito 5" sheetId="5" state="visible" r:id="rId7"/>
    <sheet name="Todas las tareas" sheetId="6" state="visible" r:id="rId8"/>
  </sheets>
  <definedNames>
    <definedName function="false" hidden="false" localSheetId="0" name="_xlnm.Print_Titles" vbProcedure="false">'Hito 1'!$5:$5</definedName>
    <definedName function="false" hidden="true" localSheetId="0" name="_xlnm._FilterDatabase" vbProcedure="false">'Hito 1'!$A$5:$D$11</definedName>
    <definedName function="false" hidden="false" localSheetId="1" name="_xlnm.Print_Titles" vbProcedure="false">'Hito 2'!$5:$5</definedName>
    <definedName function="false" hidden="true" localSheetId="1" name="_xlnm._FilterDatabase" vbProcedure="false">'Hito 2'!$A$5:$D$11</definedName>
    <definedName function="false" hidden="false" localSheetId="2" name="_xlnm.Print_Titles" vbProcedure="false">'Hito 3'!$5:$5</definedName>
    <definedName function="false" hidden="true" localSheetId="2" name="_xlnm._FilterDatabase" vbProcedure="false">'Hito 3'!$A$5:$D$15</definedName>
    <definedName function="false" hidden="false" localSheetId="3" name="_xlnm.Print_Titles" vbProcedure="false">'Hito 4'!$5:$5</definedName>
    <definedName function="false" hidden="true" localSheetId="3" name="_xlnm._FilterDatabase" vbProcedure="false">'Hito 4'!$A$5:$D$11</definedName>
    <definedName function="false" hidden="false" localSheetId="4" name="_xlnm.Print_Titles" vbProcedure="false">'Hito 5'!$5:$5</definedName>
    <definedName function="false" hidden="true" localSheetId="4" name="_xlnm._FilterDatabase" vbProcedure="false">'Hito 5'!$A$5:$D$14</definedName>
    <definedName function="false" hidden="false" localSheetId="5" name="_xlnm.Print_Titles" vbProcedure="false">'Todas las tareas'!$5:$5</definedName>
    <definedName function="false" hidden="true" localSheetId="5" name="_xlnm._FilterDatabase" vbProcedure="false">'Todas las tareas'!$A$5:$D$42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<sst xmlns="http://schemas.openxmlformats.org/spreadsheetml/2006/main" count="309" uniqueCount="136">
  <si>
    <t xml:space="preserve">Hito 1 · Cimientos</t>
  </si>
  <si>
    <t xml:space="preserve">Fases 0 y 1 del plan. Ninguna de estas tareas añade funcionalidad: existen para que los hitos 2 a 4 se puedan hacer deprisa y sin miedo. Al terminar, el motor hace exactamente lo de hoy pero ya hablando de casos, y cualquier rotura salta sola.</t>
  </si>
  <si>
    <t xml:space="preserve">Edita solo la columna Estado (lista desplegable). El color de la fila y la pestaña «Todas las tareas» se actualizan solos.</t>
  </si>
  <si>
    <t xml:space="preserve">ID</t>
  </si>
  <si>
    <t xml:space="preserve">Nombre</t>
  </si>
  <si>
    <t xml:space="preserve">Descripción</t>
  </si>
  <si>
    <t xml:space="preserve">Estado</t>
  </si>
  <si>
    <t xml:space="preserve">1.1</t>
  </si>
  <si>
    <t xml:space="preserve">Semilla configurable y registrada</t>
  </si>
  <si>
    <t xml:space="preserve">Parámetro de simulación opcional; si viene vacío, el motor genera una. Se adelanta desde el hito 4 porque sin determinismo el banco de pruebas no sirve. Ficheros: main.py, generateScript.py, runtime.py. Terminada cuando dos ejecuciones con la misma semilla dan XES idénticos y el log dice cuál se usó.</t>
  </si>
  <si>
    <t xml:space="preserve">To Do</t>
  </si>
  <si>
    <t xml:space="preserve">1.2</t>
  </si>
  <si>
    <t xml:space="preserve">Modelos de referencia congelados</t>
  </si>
  <si>
    <t xml:space="preserve">Uno simple, una colaboración 1:1, y uno con uniones paralelas e inclusivas y un bucle. Ficheros: carpeta nueva Backend/pruebas/modelos/. Terminada cuando los tres están versionados y el motor los ejecuta sin error ni aviso inesperado.</t>
  </si>
  <si>
    <t xml:space="preserve">1.3</t>
  </si>
  <si>
    <t xml:space="preserve">Script de regresión</t>
  </si>
  <si>
    <t xml:space="preserve">Reejecuta los modelos de referencia y compara contra el XES guardado. Ficheros: Backend/pruebas/regresion.py. Terminada cuando cambiar un número a mano lo hace fallar diciendo qué traza y qué evento no cuadran.</t>
  </si>
  <si>
    <t xml:space="preserve">1.4</t>
  </si>
  <si>
    <t xml:space="preserve">El caso en el runtime</t>
  </si>
  <si>
    <t xml:space="preserve">simulationResults, active_tokens, pending_joins, data, data_changed y completed pasan a indexarse por el par (participante, índice). Ficheros: runtime.py. Terminada cuando la regresión sigue en verde.</t>
  </si>
  <si>
    <t xml:space="preserve">1.5</t>
  </si>
  <si>
    <t xml:space="preserve">El caso en las funciones generadas</t>
  </si>
  <si>
    <t xml:space="preserve">Sustituir name y eliminar name.split()[-1], que es de donde sale hoy el número de instancia. Ficheros: simulationFunctions/*.py, generateScript.py. Terminada cuando bpmn:instance viene de un campo del caso y la regresión sigue en verde.</t>
  </si>
  <si>
    <t xml:space="preserve">1.6</t>
  </si>
  <si>
    <t xml:space="preserve">El caso en el XES</t>
  </si>
  <si>
    <t xml:space="preserve">Nombre de traza, metadatos y clasificador. Ficheros: runtime.py, generateScript.py. Terminada cuando PM4Py lee el log y el nombre de la traza identifica pool e índice.</t>
  </si>
  <si>
    <t xml:space="preserve">Hito 2 · Dos procesos a la vez</t>
  </si>
  <si>
    <t xml:space="preserve">Fases 2 y 3 del plan. Aquí aparece el 1:N de verdad, pero todavía sin semántica de lote: los mensajes van y vienen de uno en uno. Al terminar, un orquestador de 1 instancia y un orquestado de 50 corren juntos, con recursos separados, y se hablan.</t>
  </si>
  <si>
    <t xml:space="preserve">2.1</t>
  </si>
  <si>
    <t xml:space="preserve">Multiplicidad del pool en las reglas</t>
  </si>
  <si>
    <t xml:space="preserve">Campo instances en el participante, y la regla de compatibilidad: sin ningún marcador manda el de la colaboración, con marcador cada pool el suyo y el que no lo lleva vale 1. Ficheros: models/baseModels.py, parser.py, validation.py. Terminada cuando dos pools de 1 y 50 dan 51 casos y los modelos de referencia siguen dando lo de antes.</t>
  </si>
  <si>
    <t xml:space="preserve">2.2</t>
  </si>
  <si>
    <t xml:space="preserve">Tabla de casos y arranque por participante</t>
  </si>
  <si>
    <t xml:space="preserve">Construirla entera antes de env.run() y lanzar los eventos de inicio de cada pool con su propia frecuencia. Ficheros: runtime.py, generateScript.py. Terminada cuando cada pool arranca a su ritmo y el XES lo refleja.</t>
  </si>
  <si>
    <t xml:space="preserve">2.3</t>
  </si>
  <si>
    <t xml:space="preserve">Colas de usuarios por pool y recursos infinitos</t>
  </si>
  <si>
    <t xml:space="preserve">Una UserQueue por participante en vez de una global, más la casilla de recursos infinitos del pool. Ficheros: runtime.py, generateScript.py, parser.py, validation.py. Terminada cuando dos pools que declaran el mismo nombre de usuario no se roban el recurso, y el pool marcado como infinito no registra ni una espera.</t>
  </si>
  <si>
    <t xml:space="preserve">2.4</t>
  </si>
  <si>
    <t xml:space="preserve">Clave de mensaje por caso destino</t>
  </si>
  <si>
    <t xml:space="preserve">La clave pasa a llevar el caso destino y el envío arrastra el caso remitente. Ficheros: runtime.py, sendTask.py, receiveTask.py, events.py. Terminada cuando un 1:1 entre dos pools de una instancia sigue funcionando y un mensaje sin destino posible da un error que nombra origen y destino.</t>
  </si>
  <si>
    <t xml:space="preserve">2.5</t>
  </si>
  <si>
    <t xml:space="preserve">Contenido del mensaje</t>
  </si>
  <si>
    <t xml:space="preserve">Estructura de campos con nombre, que hoy solo lleva el resultado y mañana puede llevar más sin tocar el emparejamiento. Ficheros: runtime.py, sendTask.py, receiveTask.py, events.py. Terminada cuando el receptor lee el campo y el valor aparece en su evento del XES.</t>
  </si>
  <si>
    <t xml:space="preserve">2.6</t>
  </si>
  <si>
    <t xml:space="preserve">Encaminamiento 1→N y N→1</t>
  </si>
  <si>
    <t xml:space="preserve">Una copia por caso vivo del pool destino, y un único destino cuando el pool de enfrente tiene una instancia. Ficheros: runtime.py. Terminada cuando un envío a un pool de 50 publica 50 copias, incluidas las de los casos que aún no han arrancado, y las 50 respuestas llegan al caso único.</t>
  </si>
  <si>
    <t xml:space="preserve">Hito 3 · El lote</t>
  </si>
  <si>
    <t xml:space="preserve">Fases 4 y 5 del plan. El hito que justifica el proyecto, y el único donde casi todo es código nuevo en vez de refactor. El orden interno importa: el colector antes que el sorteo, y la asociación dibujada antes que el gateway que la usa. Al terminar, la convocatoria funciona de punta a punta.</t>
  </si>
  <si>
    <t xml:space="preserve">3.1</t>
  </si>
  <si>
    <t xml:space="preserve">Tarea «enviar a N»</t>
  </si>
  <si>
    <t xml:space="preserve">Publica una copia por instancia del pool de enfrente, con el remitente dentro. Ficheros: models/taskModels.py, parser.py, simulationFunctions/generateFunction.py y un módulo nuevo. Terminada cuando un envío a 50 deja 50 mensajes y lo registra una vez por destino.</t>
  </si>
  <si>
    <t xml:space="preserve">3.2</t>
  </si>
  <si>
    <t xml:space="preserve">Tarea «recoger de N»</t>
  </si>
  <si>
    <t xml:space="preserve">Apertura, acumulación y cierre por plazo, por cupo o al entrar las N, lo que ocurra primero. Ficheros: módulo nuevo, models/taskModels.py, parser.py, runtime.py. Terminada cuando los tres cierres funcionan sueltos y combinados, y el XES registra apertura y cierre con su motivo.</t>
  </si>
  <si>
    <t xml:space="preserve">3.3</t>
  </si>
  <si>
    <t xml:space="preserve">La espera del emisor</t>
  </si>
  <si>
    <t xml:space="preserve">Quien envía a un colector no suelta el mensaje hasta que el colector abre. Ficheros: runtime.py y los dos módulos de envío. Terminada cuando un orquestado que arranca en el segundo 0 con el colector abriendo en el 200 registra su espera y entra dentro de plazo.</t>
  </si>
  <si>
    <t xml:space="preserve">3.4</t>
  </si>
  <si>
    <t xml:space="preserve">Rechazo de lo que llega fuera</t>
  </si>
  <si>
    <t xml:space="preserve">Tarde o pasado el cupo, el colector responde con rechazo en vez de dejar el mensaje colgado. Ficheros: runtime.py y el módulo del colector. Terminada cuando una solicitud posterior al cierre recibe respuesta y la simulación no se bloquea.</t>
  </si>
  <si>
    <t xml:space="preserve">3.5</t>
  </si>
  <si>
    <t xml:space="preserve">Tarea «evaluar N»</t>
  </si>
  <si>
    <t xml:space="preserve">Cardinalidad igual a lo recogido, un recurso por solicitud, en paralelo con tope opcional de ejecuciones simultáneas. Ficheros: módulo nuevo, models/taskModels.py, parser.py, runtime.py. Terminada cuando con 100 solicitudes y tope 5 nunca hay más de 5 evaluaciones simultáneas, y sin tope hay 100.</t>
  </si>
  <si>
    <t xml:space="preserve">3.6</t>
  </si>
  <si>
    <t xml:space="preserve">La asociación dibujada en el motor</t>
  </si>
  <si>
    <t xml:space="preserve">Dejar de descartar Association y resolver a qué tarea apunta cada gateway y cada evaluadora. Ficheros: parser.py, validation.py. Terminada cuando la asociación llega al motor y una que apunte a un elemento que no toca da error.</t>
  </si>
  <si>
    <t xml:space="preserve">3.7</t>
  </si>
  <si>
    <t xml:space="preserve">El sorteo de plazas</t>
  </si>
  <si>
    <t xml:space="preserve">Al terminar la evaluación, reparte las plazas entre lo recogido y marca el resto como rechazado. Ficheros: módulo de la evaluadora, runtime.py. Terminada cuando de 100 recogidas con 50 plazas salen exactamente 50 aceptadas, idénticas con la misma semilla.</t>
  </si>
  <si>
    <t xml:space="preserve">3.8</t>
  </si>
  <si>
    <t xml:space="preserve">El gateway nuevo</t>
  </si>
  <si>
    <t xml:space="preserve">Lee el resultado que vino en el mensaje y encamina por el flujo que lo declara. Ficheros: simulationFunctions/gateways.py, models/gatewayModels.py, parser.py. Terminada cuando el número de aceptados del log del orquestador cuadra exactamente con el de orquestados que toman la rama de aceptado.</t>
  </si>
  <si>
    <t xml:space="preserve">3.9</t>
  </si>
  <si>
    <t xml:space="preserve">El rechazo que termina el proceso</t>
  </si>
  <si>
    <t xml:space="preserve">Casilla en el pool y evento final sintético. Ficheros: runtime.py, parser.py, validation.py. Terminada cuando con la casilla puesta el rechazado cierra su traza con un evento reconocible, y sin ella toma la rama de reclamación.</t>
  </si>
  <si>
    <t xml:space="preserve">3.10</t>
  </si>
  <si>
    <t xml:space="preserve">Validación y diagnóstico del lote</t>
  </si>
  <si>
    <t xml:space="preserve">Colector sin plazo ni cupo cuando el número de emisores no se conoce, gateway sin asociación, flujo sin resultado, mensajes entre dos pools múltiples, y un bloqueo que diga quién esperaba qué y desde cuándo. Ficheros: validation.py, runtime.py. Terminada cuando cada modelo mal formado da su propio error y un bloqueo real nombra elemento, caso e instante.</t>
  </si>
  <si>
    <t xml:space="preserve">Hito 4 · El experimento</t>
  </si>
  <si>
    <t xml:space="preserve">Fases 6 y 7 del plan. Convierte el motor en algo con lo que se puede experimentar de verdad: varias rondas, llegadas configurables, un registro por pool y un número que diga lo que cuesta.</t>
  </si>
  <si>
    <t xml:space="preserve">4.1</t>
  </si>
  <si>
    <t xml:space="preserve">Fin de instancia y convocatorias en serie</t>
  </si>
  <si>
    <t xml:space="preserve">El motor necesita saber cuándo un caso ha terminado del todo para arrancar el siguiente; hoy solo cuenta eventos de fin. Ficheros: runtime.py, generateScript.py. Terminada cuando tres convocatorias seguidas no solapan un solo evento.</t>
  </si>
  <si>
    <t xml:space="preserve">4.2</t>
  </si>
  <si>
    <t xml:space="preserve">Orquestados nuevos por ronda</t>
  </si>
  <si>
    <t xml:space="preserve">Los casos del pool orquestado se crean al empezar cada convocatoria. Ficheros: runtime.py. Terminada cuando el XES del orquestado tiene N trazas por ronda y ninguna cruza de una a otra.</t>
  </si>
  <si>
    <t xml:space="preserve">4.3</t>
  </si>
  <si>
    <t xml:space="preserve">Los tres modos de llegada</t>
  </si>
  <si>
    <t xml:space="preserve">Escalonada cada frequency, todas en el instante 0, o al azar entre 0 y T. Ficheros: models/baseModels.py, parser.py, runtime.py. Terminada cuando los tres dan histogramas de llegada distintos y el modo al azar nunca se pasa de T.</t>
  </si>
  <si>
    <t xml:space="preserve">4.4</t>
  </si>
  <si>
    <t xml:space="preserve">Un XES por participante</t>
  </si>
  <si>
    <t xml:space="preserve">Un fichero por pool, con sus propios metadatos y sus trazas. Ficheros: runtime.py, generateScript.py. Terminada cuando PM4Py descubre el modelo de cada pool a partir de su fichero.</t>
  </si>
  <si>
    <t xml:space="preserve">4.5</t>
  </si>
  <si>
    <t xml:space="preserve">La respuesta del servidor</t>
  </si>
  <si>
    <t xml:space="preserve">Varios registros en vez de una cadena. Ficheros: main.py, server.py. Terminada cuando el servidor devuelve un registro por pool, cada uno validado como XES, y los avisos siguen llegando igual.</t>
  </si>
  <si>
    <t xml:space="preserve">4.6</t>
  </si>
  <si>
    <t xml:space="preserve">El proceso base y su coste</t>
  </si>
  <si>
    <t xml:space="preserve">La convocatoria escrita como reglas, metida en la regresión, y medida con N de 10, 50 y 100. Ficheros: Backend/pruebas/modelos/. Terminada cuando el modelo corre de punta a punta y hay un número de segundos para cada N.</t>
  </si>
  <si>
    <t xml:space="preserve">Hito 5 · El Modeler</t>
  </si>
  <si>
    <t xml:space="preserve">Fase 8 del plan. Se puede empezar en cuanto el formato de las reglas quede fijado, al final del hito 3, y es la parte más fácil de repartir si en algún momento hay más manos. Hasta que esté hecho, el motor se prueba con reglas escritas a mano.</t>
  </si>
  <si>
    <t xml:space="preserve">5.1</t>
  </si>
  <si>
    <t xml:space="preserve">Descriptor del participante</t>
  </si>
  <si>
    <t xml:space="preserve">instances, recursos infinitos, modo de llegada con su T, y la casilla de rechazo que termina el proceso. Ficheros: descriptors/participantWithoutLane.json. Terminada cuando los atributos se guardan en el .bpmn y se releen al abrirlo.</t>
  </si>
  <si>
    <t xml:space="preserve">5.2</t>
  </si>
  <si>
    <t xml:space="preserve">Descriptores de los elementos nuevos</t>
  </si>
  <si>
    <t xml:space="preserve">Las tres tareas, el gateway, y la semilla en la colaboración. Ficheros: dos descriptores nuevos más collaboration.json. Terminada cuando los elementos conservan sus parámetros al guardar y volver a abrir.</t>
  </si>
  <si>
    <t xml:space="preserve">5.3</t>
  </si>
  <si>
    <t xml:space="preserve">Paneles de propiedades</t>
  </si>
  <si>
    <t xml:space="preserve">Ficheros: provider/model/parts/, provider/properties/PropertiesProvider.js. Terminada cuando cada campo aparece solo donde tiene sentido: el número de instancias con el marcador puesto, el plazo y el cupo solo en el colector, el tope solo en la evaluadora.</t>
  </si>
  <si>
    <t xml:space="preserve">5.4</t>
  </si>
  <si>
    <t xml:space="preserve">Iconos y renderizado</t>
  </si>
  <si>
    <t xml:space="preserve">Los tres tipos de tarea y el gateway nuevo. Ficheros: módulo nuevo en Modeler/lib/. Terminada cuando los cuatro se distinguen a simple vista en el lienzo y al imprimir en blanco y negro.</t>
  </si>
  <si>
    <t xml:space="preserve">5.5</t>
  </si>
  <si>
    <t xml:space="preserve">Paleta y menú de reemplazo</t>
  </si>
  <si>
    <t xml:space="preserve">Ficheros: módulo nuevo. Terminada cuando se crean desde la paleta y una tarea normal se convierte en cualquiera de los tres tipos sin perder sus datos.</t>
  </si>
  <si>
    <t xml:space="preserve">5.6</t>
  </si>
  <si>
    <t xml:space="preserve">Reglas de modelado de la asociación</t>
  </si>
  <si>
    <t xml:space="preserve">Ficheros: Modeler/lib/. Terminada cuando se puede trazar la asociación de gateway a tarea y de evaluadora a colector, y el editor la rechaza hacia cualquier otra cosa.</t>
  </si>
  <si>
    <t xml:space="preserve">5.7</t>
  </si>
  <si>
    <t xml:space="preserve">Exportación de las reglas</t>
  </si>
  <si>
    <t xml:space="preserve">Todo lo anterior, incluidas las asociaciones, que hoy no se exportan. Ficheros: example/src/taskHandlers.js. Terminada cuando las reglas que saca el Modeler dan exactamente la misma simulación que las escritas a mano.</t>
  </si>
  <si>
    <t xml:space="preserve">5.8</t>
  </si>
  <si>
    <t xml:space="preserve">Descarga de varios registros</t>
  </si>
  <si>
    <t xml:space="preserve">Ficheros: example/src/modeler.js, modeler.html, style.css. Terminada cuando la interfaz ofrece un XES por pool, cada uno con el nombre de su pool.</t>
  </si>
  <si>
    <t xml:space="preserve">5.9</t>
  </si>
  <si>
    <t xml:space="preserve">El proceso base dibujado y documentado</t>
  </si>
  <si>
    <t xml:space="preserve">Ficheros: Backend/README.md, Modeler/README.md. Terminada cuando la convocatoria se dibuja y se simula desde el Modeler sin tocar un fichero de reglas, y el .bpmn abre en otra herramienta sin romperse.</t>
  </si>
  <si>
    <t xml:space="preserve">Todas las tareas</t>
  </si>
  <si>
    <t xml:space="preserve">Las 37 tareas en el orden recomendado de ejecución. Dentro de cada hito el orden importa; entre hitos, el único que se puede adelantar es el 5, que puede empezar en cuanto termine la tarea 3.10. El estado se toma de la pestaña de cada hito.</t>
  </si>
  <si>
    <t xml:space="preserve">Solo lectura: cambia el estado en la pestaña de su hito y esta tabla y el gráfico se actualizan solos.</t>
  </si>
  <si>
    <t xml:space="preserve">Tareas</t>
  </si>
  <si>
    <t xml:space="preserve">In Progress</t>
  </si>
  <si>
    <t xml:space="preserve">In Review</t>
  </si>
  <si>
    <t xml:space="preserve">DONE</t>
  </si>
  <si>
    <t xml:space="preserve">Total</t>
  </si>
  <si>
    <t xml:space="preserve">Completado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</si>
</sst>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595959"/>
        <sz val="10"/>
      </font>
      <fill>
        <patternFill>
          <bgColor rgb="FFF2F2F2"/>
        </patternFill>
      </fill>
    </dxf>
    <dxf>
      <font>
        <name val="Arial"/>
        <charset val="1"/>
        <family val="0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color rgb="FF1F4E79"/>
        <sz val="10"/>
      </font>
      <fill>
        <patternFill>
          <bgColor rgb="FFDDEBF7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Estado de las tareas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'Todas las tareas'!G5</c:f>
              <c:strCache>
                <c:ptCount val="1"/>
                <c:pt idx="0">
                  <c:v>Tareas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bfbfb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0ad4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'Todas las tareas'!$F$6:$F$9</c:f>
              <c:strCache>
                <c:ptCount val="4"/>
                <c:pt idx="0">
                  <c:v>To Do</c:v>
                </c:pt>
                <c:pt idx="1">
                  <c:v>In Progress</c:v>
                </c:pt>
                <c:pt idx="2">
                  <c:v>In Review</c:v>
                </c:pt>
                <c:pt idx="3">
                  <c:v>DONE</c:v>
                </c:pt>
              </c:strCache>
            </c:strRef>
          </c:cat>
          <c:val>
            <c:numRef>
              <c:f>'Todas las tareas'!$G$6:$G$9</c:f>
              <c:numCache>
                <c:formatCode>General</c:formatCode>
                <c:ptCount val="4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0</xdr:rowOff>
    </xdr:from>
    <xdr:to>
      <xdr:col>11</xdr:col>
      <xdr:colOff>401040</xdr:colOff>
      <xdr:row>18</xdr:row>
      <xdr:rowOff>475560</xdr:rowOff>
    </xdr:to>
    <xdr:graphicFrame>
      <xdr:nvGraphicFramePr>
        <xdr:cNvPr id="0" name="Chart 1"/>
        <xdr:cNvGraphicFramePr/>
      </xdr:nvGraphicFramePr>
      <xdr:xfrm>
        <a:off x="11630160" y="631512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60" hidden="false" customHeight="true" outlineLevel="0" collapsed="false">
      <c r="A6" s="5" t="s">
        <v>7</v>
      </c>
      <c r="B6" s="6" t="s">
        <v>8</v>
      </c>
      <c r="C6" s="6" t="s">
        <v>9</v>
      </c>
      <c r="D6" s="7" t="s">
        <v>10</v>
      </c>
    </row>
    <row r="7" customFormat="false" ht="46.5" hidden="false" customHeight="true" outlineLevel="0" collapsed="false">
      <c r="A7" s="5" t="s">
        <v>11</v>
      </c>
      <c r="B7" s="6" t="s">
        <v>12</v>
      </c>
      <c r="C7" s="6" t="s">
        <v>13</v>
      </c>
      <c r="D7" s="7" t="s">
        <v>10</v>
      </c>
    </row>
    <row r="8" customFormat="false" ht="46.5" hidden="false" customHeight="true" outlineLevel="0" collapsed="false">
      <c r="A8" s="5" t="s">
        <v>14</v>
      </c>
      <c r="B8" s="6" t="s">
        <v>15</v>
      </c>
      <c r="C8" s="6" t="s">
        <v>16</v>
      </c>
      <c r="D8" s="7" t="s">
        <v>10</v>
      </c>
    </row>
    <row r="9" customFormat="false" ht="33.75" hidden="false" customHeight="true" outlineLevel="0" collapsed="false">
      <c r="A9" s="5" t="s">
        <v>17</v>
      </c>
      <c r="B9" s="6" t="s">
        <v>18</v>
      </c>
      <c r="C9" s="6" t="s">
        <v>19</v>
      </c>
      <c r="D9" s="7" t="s">
        <v>10</v>
      </c>
    </row>
    <row r="10" customFormat="false" ht="46.5" hidden="false" customHeight="true" outlineLevel="0" collapsed="false">
      <c r="A10" s="5" t="s">
        <v>20</v>
      </c>
      <c r="B10" s="6" t="s">
        <v>21</v>
      </c>
      <c r="C10" s="6" t="s">
        <v>22</v>
      </c>
      <c r="D10" s="7" t="s">
        <v>10</v>
      </c>
    </row>
    <row r="11" customFormat="false" ht="33.75" hidden="false" customHeight="true" outlineLevel="0" collapsed="false">
      <c r="A11" s="5" t="s">
        <v>23</v>
      </c>
      <c r="B11" s="6" t="s">
        <v>24</v>
      </c>
      <c r="C11" s="6" t="s">
        <v>25</v>
      </c>
      <c r="D11" s="7" t="s">
        <v>10</v>
      </c>
    </row>
  </sheetData>
  <autoFilter ref="A5:D11"/>
  <mergeCells count="3">
    <mergeCell ref="A1:D1"/>
    <mergeCell ref="A2:D2"/>
    <mergeCell ref="A3:D3"/>
  </mergeCells>
  <conditionalFormatting sqref="A6:D11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dataValidations count="1">
    <dataValidation allowBlank="false" error="Usa uno de los cuatro estados de la lista." errorStyle="stop" errorTitle="Estado no válido" operator="between" showDropDown="false" showErrorMessage="false" showInputMessage="false" sqref="D6:D11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26</v>
      </c>
      <c r="B1" s="1"/>
      <c r="C1" s="1"/>
      <c r="D1" s="1"/>
    </row>
    <row r="2" customFormat="false" ht="42" hidden="false" customHeight="true" outlineLevel="0" collapsed="false">
      <c r="A2" s="2" t="s">
        <v>27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60" hidden="false" customHeight="true" outlineLevel="0" collapsed="false">
      <c r="A6" s="5" t="s">
        <v>28</v>
      </c>
      <c r="B6" s="6" t="s">
        <v>29</v>
      </c>
      <c r="C6" s="6" t="s">
        <v>30</v>
      </c>
      <c r="D6" s="7" t="s">
        <v>10</v>
      </c>
    </row>
    <row r="7" customFormat="false" ht="46.5" hidden="false" customHeight="true" outlineLevel="0" collapsed="false">
      <c r="A7" s="5" t="s">
        <v>31</v>
      </c>
      <c r="B7" s="6" t="s">
        <v>32</v>
      </c>
      <c r="C7" s="6" t="s">
        <v>33</v>
      </c>
      <c r="D7" s="7" t="s">
        <v>10</v>
      </c>
    </row>
    <row r="8" customFormat="false" ht="60" hidden="false" customHeight="true" outlineLevel="0" collapsed="false">
      <c r="A8" s="5" t="s">
        <v>34</v>
      </c>
      <c r="B8" s="6" t="s">
        <v>35</v>
      </c>
      <c r="C8" s="6" t="s">
        <v>36</v>
      </c>
      <c r="D8" s="7" t="s">
        <v>10</v>
      </c>
    </row>
    <row r="9" customFormat="false" ht="46.5" hidden="false" customHeight="true" outlineLevel="0" collapsed="false">
      <c r="A9" s="5" t="s">
        <v>37</v>
      </c>
      <c r="B9" s="6" t="s">
        <v>38</v>
      </c>
      <c r="C9" s="6" t="s">
        <v>39</v>
      </c>
      <c r="D9" s="7" t="s">
        <v>10</v>
      </c>
    </row>
    <row r="10" customFormat="false" ht="46.5" hidden="false" customHeight="true" outlineLevel="0" collapsed="false">
      <c r="A10" s="5" t="s">
        <v>40</v>
      </c>
      <c r="B10" s="6" t="s">
        <v>41</v>
      </c>
      <c r="C10" s="6" t="s">
        <v>42</v>
      </c>
      <c r="D10" s="7" t="s">
        <v>10</v>
      </c>
    </row>
    <row r="11" customFormat="false" ht="46.5" hidden="false" customHeight="true" outlineLevel="0" collapsed="false">
      <c r="A11" s="5" t="s">
        <v>43</v>
      </c>
      <c r="B11" s="6" t="s">
        <v>44</v>
      </c>
      <c r="C11" s="6" t="s">
        <v>45</v>
      </c>
      <c r="D11" s="7" t="s">
        <v>10</v>
      </c>
    </row>
  </sheetData>
  <autoFilter ref="A5:D11"/>
  <mergeCells count="3">
    <mergeCell ref="A1:D1"/>
    <mergeCell ref="A2:D2"/>
    <mergeCell ref="A3:D3"/>
  </mergeCells>
  <conditionalFormatting sqref="A6:D11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dataValidations count="1">
    <dataValidation allowBlank="false" error="Usa uno de los cuatro estados de la lista." errorStyle="stop" errorTitle="Estado no válido" operator="between" showDropDown="false" showErrorMessage="false" showInputMessage="false" sqref="D6:D11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46</v>
      </c>
      <c r="B1" s="1"/>
      <c r="C1" s="1"/>
      <c r="D1" s="1"/>
    </row>
    <row r="2" customFormat="false" ht="42" hidden="false" customHeight="true" outlineLevel="0" collapsed="false">
      <c r="A2" s="2" t="s">
        <v>47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46.5" hidden="false" customHeight="true" outlineLevel="0" collapsed="false">
      <c r="A6" s="5" t="s">
        <v>48</v>
      </c>
      <c r="B6" s="6" t="s">
        <v>49</v>
      </c>
      <c r="C6" s="6" t="s">
        <v>50</v>
      </c>
      <c r="D6" s="7" t="s">
        <v>10</v>
      </c>
    </row>
    <row r="7" customFormat="false" ht="46.5" hidden="false" customHeight="true" outlineLevel="0" collapsed="false">
      <c r="A7" s="5" t="s">
        <v>51</v>
      </c>
      <c r="B7" s="6" t="s">
        <v>52</v>
      </c>
      <c r="C7" s="6" t="s">
        <v>53</v>
      </c>
      <c r="D7" s="7" t="s">
        <v>10</v>
      </c>
    </row>
    <row r="8" customFormat="false" ht="46.5" hidden="false" customHeight="true" outlineLevel="0" collapsed="false">
      <c r="A8" s="5" t="s">
        <v>54</v>
      </c>
      <c r="B8" s="6" t="s">
        <v>55</v>
      </c>
      <c r="C8" s="6" t="s">
        <v>56</v>
      </c>
      <c r="D8" s="7" t="s">
        <v>10</v>
      </c>
    </row>
    <row r="9" customFormat="false" ht="46.5" hidden="false" customHeight="true" outlineLevel="0" collapsed="false">
      <c r="A9" s="5" t="s">
        <v>57</v>
      </c>
      <c r="B9" s="6" t="s">
        <v>58</v>
      </c>
      <c r="C9" s="6" t="s">
        <v>59</v>
      </c>
      <c r="D9" s="7" t="s">
        <v>10</v>
      </c>
    </row>
    <row r="10" customFormat="false" ht="46.5" hidden="false" customHeight="true" outlineLevel="0" collapsed="false">
      <c r="A10" s="5" t="s">
        <v>60</v>
      </c>
      <c r="B10" s="6" t="s">
        <v>61</v>
      </c>
      <c r="C10" s="6" t="s">
        <v>62</v>
      </c>
      <c r="D10" s="7" t="s">
        <v>10</v>
      </c>
    </row>
    <row r="11" customFormat="false" ht="46.5" hidden="false" customHeight="true" outlineLevel="0" collapsed="false">
      <c r="A11" s="5" t="s">
        <v>63</v>
      </c>
      <c r="B11" s="6" t="s">
        <v>64</v>
      </c>
      <c r="C11" s="6" t="s">
        <v>65</v>
      </c>
      <c r="D11" s="7" t="s">
        <v>10</v>
      </c>
    </row>
    <row r="12" customFormat="false" ht="46.5" hidden="false" customHeight="true" outlineLevel="0" collapsed="false">
      <c r="A12" s="5" t="s">
        <v>66</v>
      </c>
      <c r="B12" s="6" t="s">
        <v>67</v>
      </c>
      <c r="C12" s="6" t="s">
        <v>68</v>
      </c>
      <c r="D12" s="7" t="s">
        <v>10</v>
      </c>
    </row>
    <row r="13" customFormat="false" ht="46.5" hidden="false" customHeight="true" outlineLevel="0" collapsed="false">
      <c r="A13" s="5" t="s">
        <v>69</v>
      </c>
      <c r="B13" s="6" t="s">
        <v>70</v>
      </c>
      <c r="C13" s="6" t="s">
        <v>71</v>
      </c>
      <c r="D13" s="7" t="s">
        <v>10</v>
      </c>
    </row>
    <row r="14" customFormat="false" ht="46.5" hidden="false" customHeight="true" outlineLevel="0" collapsed="false">
      <c r="A14" s="5" t="s">
        <v>72</v>
      </c>
      <c r="B14" s="6" t="s">
        <v>73</v>
      </c>
      <c r="C14" s="6" t="s">
        <v>74</v>
      </c>
      <c r="D14" s="7" t="s">
        <v>10</v>
      </c>
    </row>
    <row r="15" customFormat="false" ht="60" hidden="false" customHeight="true" outlineLevel="0" collapsed="false">
      <c r="A15" s="5" t="s">
        <v>75</v>
      </c>
      <c r="B15" s="6" t="s">
        <v>76</v>
      </c>
      <c r="C15" s="6" t="s">
        <v>77</v>
      </c>
      <c r="D15" s="7" t="s">
        <v>10</v>
      </c>
    </row>
  </sheetData>
  <autoFilter ref="A5:D15"/>
  <mergeCells count="3">
    <mergeCell ref="A1:D1"/>
    <mergeCell ref="A2:D2"/>
    <mergeCell ref="A3:D3"/>
  </mergeCells>
  <conditionalFormatting sqref="A6:D15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dataValidations count="1">
    <dataValidation allowBlank="false" error="Usa uno de los cuatro estados de la lista." errorStyle="stop" errorTitle="Estado no válido" operator="between" showDropDown="false" showErrorMessage="false" showInputMessage="false" sqref="D6:D15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78</v>
      </c>
      <c r="B1" s="1"/>
      <c r="C1" s="1"/>
      <c r="D1" s="1"/>
    </row>
    <row r="2" customFormat="false" ht="42" hidden="false" customHeight="true" outlineLevel="0" collapsed="false">
      <c r="A2" s="2" t="s">
        <v>79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46.5" hidden="false" customHeight="true" outlineLevel="0" collapsed="false">
      <c r="A6" s="5" t="s">
        <v>80</v>
      </c>
      <c r="B6" s="6" t="s">
        <v>81</v>
      </c>
      <c r="C6" s="6" t="s">
        <v>82</v>
      </c>
      <c r="D6" s="7" t="s">
        <v>10</v>
      </c>
    </row>
    <row r="7" customFormat="false" ht="33.75" hidden="false" customHeight="true" outlineLevel="0" collapsed="false">
      <c r="A7" s="5" t="s">
        <v>83</v>
      </c>
      <c r="B7" s="6" t="s">
        <v>84</v>
      </c>
      <c r="C7" s="6" t="s">
        <v>85</v>
      </c>
      <c r="D7" s="7" t="s">
        <v>10</v>
      </c>
    </row>
    <row r="8" customFormat="false" ht="46.5" hidden="false" customHeight="true" outlineLevel="0" collapsed="false">
      <c r="A8" s="5" t="s">
        <v>86</v>
      </c>
      <c r="B8" s="6" t="s">
        <v>87</v>
      </c>
      <c r="C8" s="6" t="s">
        <v>88</v>
      </c>
      <c r="D8" s="7" t="s">
        <v>10</v>
      </c>
    </row>
    <row r="9" customFormat="false" ht="33.75" hidden="false" customHeight="true" outlineLevel="0" collapsed="false">
      <c r="A9" s="5" t="s">
        <v>89</v>
      </c>
      <c r="B9" s="6" t="s">
        <v>90</v>
      </c>
      <c r="C9" s="6" t="s">
        <v>91</v>
      </c>
      <c r="D9" s="7" t="s">
        <v>10</v>
      </c>
    </row>
    <row r="10" customFormat="false" ht="33.75" hidden="false" customHeight="true" outlineLevel="0" collapsed="false">
      <c r="A10" s="5" t="s">
        <v>92</v>
      </c>
      <c r="B10" s="6" t="s">
        <v>93</v>
      </c>
      <c r="C10" s="6" t="s">
        <v>94</v>
      </c>
      <c r="D10" s="7" t="s">
        <v>10</v>
      </c>
    </row>
    <row r="11" customFormat="false" ht="46.5" hidden="false" customHeight="true" outlineLevel="0" collapsed="false">
      <c r="A11" s="5" t="s">
        <v>95</v>
      </c>
      <c r="B11" s="6" t="s">
        <v>96</v>
      </c>
      <c r="C11" s="6" t="s">
        <v>97</v>
      </c>
      <c r="D11" s="7" t="s">
        <v>10</v>
      </c>
    </row>
  </sheetData>
  <autoFilter ref="A5:D11"/>
  <mergeCells count="3">
    <mergeCell ref="A1:D1"/>
    <mergeCell ref="A2:D2"/>
    <mergeCell ref="A3:D3"/>
  </mergeCells>
  <conditionalFormatting sqref="A6:D11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dataValidations count="1">
    <dataValidation allowBlank="false" error="Usa uno de los cuatro estados de la lista." errorStyle="stop" errorTitle="Estado no válido" operator="between" showDropDown="false" showErrorMessage="false" showInputMessage="false" sqref="D6:D11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98</v>
      </c>
      <c r="B1" s="1"/>
      <c r="C1" s="1"/>
      <c r="D1" s="1"/>
    </row>
    <row r="2" customFormat="false" ht="42" hidden="false" customHeight="true" outlineLevel="0" collapsed="false">
      <c r="A2" s="2" t="s">
        <v>99</v>
      </c>
      <c r="B2" s="2"/>
      <c r="C2" s="2"/>
      <c r="D2" s="2"/>
    </row>
    <row r="3" customFormat="false" ht="13.5" hidden="false" customHeight="true" outlineLevel="0" collapsed="false">
      <c r="A3" s="3" t="s">
        <v>2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46.5" hidden="false" customHeight="true" outlineLevel="0" collapsed="false">
      <c r="A6" s="5" t="s">
        <v>100</v>
      </c>
      <c r="B6" s="6" t="s">
        <v>101</v>
      </c>
      <c r="C6" s="6" t="s">
        <v>102</v>
      </c>
      <c r="D6" s="7" t="s">
        <v>10</v>
      </c>
    </row>
    <row r="7" customFormat="false" ht="46.5" hidden="false" customHeight="true" outlineLevel="0" collapsed="false">
      <c r="A7" s="5" t="s">
        <v>103</v>
      </c>
      <c r="B7" s="6" t="s">
        <v>104</v>
      </c>
      <c r="C7" s="6" t="s">
        <v>105</v>
      </c>
      <c r="D7" s="7" t="s">
        <v>10</v>
      </c>
    </row>
    <row r="8" customFormat="false" ht="46.5" hidden="false" customHeight="true" outlineLevel="0" collapsed="false">
      <c r="A8" s="5" t="s">
        <v>106</v>
      </c>
      <c r="B8" s="6" t="s">
        <v>107</v>
      </c>
      <c r="C8" s="6" t="s">
        <v>108</v>
      </c>
      <c r="D8" s="7" t="s">
        <v>10</v>
      </c>
    </row>
    <row r="9" customFormat="false" ht="33.75" hidden="false" customHeight="true" outlineLevel="0" collapsed="false">
      <c r="A9" s="5" t="s">
        <v>109</v>
      </c>
      <c r="B9" s="6" t="s">
        <v>110</v>
      </c>
      <c r="C9" s="6" t="s">
        <v>111</v>
      </c>
      <c r="D9" s="7" t="s">
        <v>10</v>
      </c>
    </row>
    <row r="10" customFormat="false" ht="33.75" hidden="false" customHeight="true" outlineLevel="0" collapsed="false">
      <c r="A10" s="5" t="s">
        <v>112</v>
      </c>
      <c r="B10" s="6" t="s">
        <v>113</v>
      </c>
      <c r="C10" s="6" t="s">
        <v>114</v>
      </c>
      <c r="D10" s="7" t="s">
        <v>10</v>
      </c>
    </row>
    <row r="11" customFormat="false" ht="33.75" hidden="false" customHeight="true" outlineLevel="0" collapsed="false">
      <c r="A11" s="5" t="s">
        <v>115</v>
      </c>
      <c r="B11" s="6" t="s">
        <v>116</v>
      </c>
      <c r="C11" s="6" t="s">
        <v>117</v>
      </c>
      <c r="D11" s="7" t="s">
        <v>10</v>
      </c>
    </row>
    <row r="12" customFormat="false" ht="46.5" hidden="false" customHeight="true" outlineLevel="0" collapsed="false">
      <c r="A12" s="5" t="s">
        <v>118</v>
      </c>
      <c r="B12" s="6" t="s">
        <v>119</v>
      </c>
      <c r="C12" s="6" t="s">
        <v>120</v>
      </c>
      <c r="D12" s="7" t="s">
        <v>10</v>
      </c>
    </row>
    <row r="13" customFormat="false" ht="33.75" hidden="false" customHeight="true" outlineLevel="0" collapsed="false">
      <c r="A13" s="5" t="s">
        <v>121</v>
      </c>
      <c r="B13" s="6" t="s">
        <v>122</v>
      </c>
      <c r="C13" s="6" t="s">
        <v>123</v>
      </c>
      <c r="D13" s="7" t="s">
        <v>10</v>
      </c>
    </row>
    <row r="14" customFormat="false" ht="46.5" hidden="false" customHeight="true" outlineLevel="0" collapsed="false">
      <c r="A14" s="5" t="s">
        <v>124</v>
      </c>
      <c r="B14" s="6" t="s">
        <v>125</v>
      </c>
      <c r="C14" s="6" t="s">
        <v>126</v>
      </c>
      <c r="D14" s="7" t="s">
        <v>10</v>
      </c>
    </row>
  </sheetData>
  <autoFilter ref="A5:D14"/>
  <mergeCells count="3">
    <mergeCell ref="A1:D1"/>
    <mergeCell ref="A2:D2"/>
    <mergeCell ref="A3:D3"/>
  </mergeCells>
  <conditionalFormatting sqref="A6:D14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dataValidations count="1">
    <dataValidation allowBlank="false" error="Usa uno de los cuatro estados de la lista." errorStyle="stop" errorTitle="Estado no válido" operator="between" showDropDown="false" showErrorMessage="false" showInputMessage="false" sqref="D6:D14" type="list">
      <formula1>"To Do,In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5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1" t="s">
        <v>127</v>
      </c>
      <c r="B1" s="1"/>
      <c r="C1" s="1"/>
      <c r="D1" s="1"/>
    </row>
    <row r="2" customFormat="false" ht="42" hidden="false" customHeight="true" outlineLevel="0" collapsed="false">
      <c r="A2" s="2" t="s">
        <v>128</v>
      </c>
      <c r="B2" s="2"/>
      <c r="C2" s="2"/>
      <c r="D2" s="2"/>
    </row>
    <row r="3" customFormat="false" ht="13.5" hidden="false" customHeight="true" outlineLevel="0" collapsed="false">
      <c r="A3" s="3" t="s">
        <v>129</v>
      </c>
      <c r="B3" s="3"/>
      <c r="C3" s="3"/>
      <c r="D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F5" s="8" t="s">
        <v>6</v>
      </c>
      <c r="G5" s="9" t="s">
        <v>130</v>
      </c>
    </row>
    <row r="6" customFormat="false" ht="60" hidden="false" customHeight="true" outlineLevel="0" collapsed="false">
      <c r="A6" s="5" t="s">
        <v>7</v>
      </c>
      <c r="B6" s="6" t="s">
        <v>8</v>
      </c>
      <c r="C6" s="6" t="s">
        <v>9</v>
      </c>
      <c r="D6" s="7" t="str">
        <f aca="false">'Hito 1'!D6</f>
        <v>To Do</v>
      </c>
      <c r="F6" s="10" t="s">
        <v>10</v>
      </c>
      <c r="G6" s="11" t="n">
        <f aca="false">COUNTIF($D$6:$D$42,$F6)</f>
        <v>37</v>
      </c>
    </row>
    <row r="7" customFormat="false" ht="46.5" hidden="false" customHeight="true" outlineLevel="0" collapsed="false">
      <c r="A7" s="5" t="s">
        <v>11</v>
      </c>
      <c r="B7" s="6" t="s">
        <v>12</v>
      </c>
      <c r="C7" s="6" t="s">
        <v>13</v>
      </c>
      <c r="D7" s="7" t="str">
        <f aca="false">'Hito 1'!D7</f>
        <v>To Do</v>
      </c>
      <c r="F7" s="12" t="s">
        <v>131</v>
      </c>
      <c r="G7" s="13" t="n">
        <f aca="false">COUNTIF($D$6:$D$42,$F7)</f>
        <v>0</v>
      </c>
    </row>
    <row r="8" customFormat="false" ht="46.5" hidden="false" customHeight="true" outlineLevel="0" collapsed="false">
      <c r="A8" s="5" t="s">
        <v>14</v>
      </c>
      <c r="B8" s="6" t="s">
        <v>15</v>
      </c>
      <c r="C8" s="6" t="s">
        <v>16</v>
      </c>
      <c r="D8" s="7" t="str">
        <f aca="false">'Hito 1'!D8</f>
        <v>To Do</v>
      </c>
      <c r="F8" s="14" t="s">
        <v>132</v>
      </c>
      <c r="G8" s="15" t="n">
        <f aca="false">COUNTIF($D$6:$D$42,$F8)</f>
        <v>0</v>
      </c>
    </row>
    <row r="9" customFormat="false" ht="33.75" hidden="false" customHeight="true" outlineLevel="0" collapsed="false">
      <c r="A9" s="5" t="s">
        <v>17</v>
      </c>
      <c r="B9" s="6" t="s">
        <v>18</v>
      </c>
      <c r="C9" s="6" t="s">
        <v>19</v>
      </c>
      <c r="D9" s="7" t="str">
        <f aca="false">'Hito 1'!D9</f>
        <v>To Do</v>
      </c>
      <c r="F9" s="16" t="s">
        <v>133</v>
      </c>
      <c r="G9" s="17" t="n">
        <f aca="false">COUNTIF($D$6:$D$42,$F9)</f>
        <v>0</v>
      </c>
    </row>
    <row r="10" customFormat="false" ht="46.5" hidden="false" customHeight="true" outlineLevel="0" collapsed="false">
      <c r="A10" s="5" t="s">
        <v>20</v>
      </c>
      <c r="B10" s="6" t="s">
        <v>21</v>
      </c>
      <c r="C10" s="6" t="s">
        <v>22</v>
      </c>
      <c r="D10" s="7" t="str">
        <f aca="false">'Hito 1'!D10</f>
        <v>To Do</v>
      </c>
      <c r="F10" s="18" t="s">
        <v>134</v>
      </c>
      <c r="G10" s="19" t="n">
        <f aca="false">SUM($G$6:$G$9)</f>
        <v>37</v>
      </c>
    </row>
    <row r="11" customFormat="false" ht="33.75" hidden="false" customHeight="true" outlineLevel="0" collapsed="false">
      <c r="A11" s="5" t="s">
        <v>23</v>
      </c>
      <c r="B11" s="6" t="s">
        <v>24</v>
      </c>
      <c r="C11" s="6" t="s">
        <v>25</v>
      </c>
      <c r="D11" s="7" t="str">
        <f aca="false">'Hito 1'!D11</f>
        <v>To Do</v>
      </c>
    </row>
    <row r="12" customFormat="false" ht="60" hidden="false" customHeight="true" outlineLevel="0" collapsed="false">
      <c r="A12" s="5" t="s">
        <v>28</v>
      </c>
      <c r="B12" s="6" t="s">
        <v>29</v>
      </c>
      <c r="C12" s="6" t="s">
        <v>30</v>
      </c>
      <c r="D12" s="7" t="str">
        <f aca="false">'Hito 2'!D6</f>
        <v>To Do</v>
      </c>
      <c r="F12" s="20" t="s">
        <v>135</v>
      </c>
      <c r="G12" s="21" t="n">
        <f aca="false">IFERROR($G$9/$G$10,0)</f>
        <v>0</v>
      </c>
    </row>
    <row r="13" customFormat="false" ht="46.5" hidden="false" customHeight="true" outlineLevel="0" collapsed="false">
      <c r="A13" s="5" t="s">
        <v>31</v>
      </c>
      <c r="B13" s="6" t="s">
        <v>32</v>
      </c>
      <c r="C13" s="6" t="s">
        <v>33</v>
      </c>
      <c r="D13" s="7" t="str">
        <f aca="false">'Hito 2'!D7</f>
        <v>To Do</v>
      </c>
    </row>
    <row r="14" customFormat="false" ht="60" hidden="false" customHeight="true" outlineLevel="0" collapsed="false">
      <c r="A14" s="5" t="s">
        <v>34</v>
      </c>
      <c r="B14" s="6" t="s">
        <v>35</v>
      </c>
      <c r="C14" s="6" t="s">
        <v>36</v>
      </c>
      <c r="D14" s="7" t="str">
        <f aca="false">'Hito 2'!D8</f>
        <v>To Do</v>
      </c>
    </row>
    <row r="15" customFormat="false" ht="46.5" hidden="false" customHeight="true" outlineLevel="0" collapsed="false">
      <c r="A15" s="5" t="s">
        <v>37</v>
      </c>
      <c r="B15" s="6" t="s">
        <v>38</v>
      </c>
      <c r="C15" s="6" t="s">
        <v>39</v>
      </c>
      <c r="D15" s="7" t="str">
        <f aca="false">'Hito 2'!D9</f>
        <v>To Do</v>
      </c>
    </row>
    <row r="16" customFormat="false" ht="46.5" hidden="false" customHeight="true" outlineLevel="0" collapsed="false">
      <c r="A16" s="5" t="s">
        <v>40</v>
      </c>
      <c r="B16" s="6" t="s">
        <v>41</v>
      </c>
      <c r="C16" s="6" t="s">
        <v>42</v>
      </c>
      <c r="D16" s="7" t="str">
        <f aca="false">'Hito 2'!D10</f>
        <v>To Do</v>
      </c>
    </row>
    <row r="17" customFormat="false" ht="46.5" hidden="false" customHeight="true" outlineLevel="0" collapsed="false">
      <c r="A17" s="5" t="s">
        <v>43</v>
      </c>
      <c r="B17" s="6" t="s">
        <v>44</v>
      </c>
      <c r="C17" s="6" t="s">
        <v>45</v>
      </c>
      <c r="D17" s="7" t="str">
        <f aca="false">'Hito 2'!D11</f>
        <v>To Do</v>
      </c>
    </row>
    <row r="18" customFormat="false" ht="46.5" hidden="false" customHeight="true" outlineLevel="0" collapsed="false">
      <c r="A18" s="5" t="s">
        <v>48</v>
      </c>
      <c r="B18" s="6" t="s">
        <v>49</v>
      </c>
      <c r="C18" s="6" t="s">
        <v>50</v>
      </c>
      <c r="D18" s="7" t="str">
        <f aca="false">'Hito 3'!D6</f>
        <v>To Do</v>
      </c>
    </row>
    <row r="19" customFormat="false" ht="46.5" hidden="false" customHeight="true" outlineLevel="0" collapsed="false">
      <c r="A19" s="5" t="s">
        <v>51</v>
      </c>
      <c r="B19" s="6" t="s">
        <v>52</v>
      </c>
      <c r="C19" s="6" t="s">
        <v>53</v>
      </c>
      <c r="D19" s="7" t="str">
        <f aca="false">'Hito 3'!D7</f>
        <v>To Do</v>
      </c>
    </row>
    <row r="20" customFormat="false" ht="46.5" hidden="false" customHeight="true" outlineLevel="0" collapsed="false">
      <c r="A20" s="5" t="s">
        <v>54</v>
      </c>
      <c r="B20" s="6" t="s">
        <v>55</v>
      </c>
      <c r="C20" s="6" t="s">
        <v>56</v>
      </c>
      <c r="D20" s="7" t="str">
        <f aca="false">'Hito 3'!D8</f>
        <v>To Do</v>
      </c>
    </row>
    <row r="21" customFormat="false" ht="46.5" hidden="false" customHeight="true" outlineLevel="0" collapsed="false">
      <c r="A21" s="5" t="s">
        <v>57</v>
      </c>
      <c r="B21" s="6" t="s">
        <v>58</v>
      </c>
      <c r="C21" s="6" t="s">
        <v>59</v>
      </c>
      <c r="D21" s="7" t="str">
        <f aca="false">'Hito 3'!D9</f>
        <v>To Do</v>
      </c>
    </row>
    <row r="22" customFormat="false" ht="46.5" hidden="false" customHeight="true" outlineLevel="0" collapsed="false">
      <c r="A22" s="5" t="s">
        <v>60</v>
      </c>
      <c r="B22" s="6" t="s">
        <v>61</v>
      </c>
      <c r="C22" s="6" t="s">
        <v>62</v>
      </c>
      <c r="D22" s="7" t="str">
        <f aca="false">'Hito 3'!D10</f>
        <v>To Do</v>
      </c>
    </row>
    <row r="23" customFormat="false" ht="46.5" hidden="false" customHeight="true" outlineLevel="0" collapsed="false">
      <c r="A23" s="5" t="s">
        <v>63</v>
      </c>
      <c r="B23" s="6" t="s">
        <v>64</v>
      </c>
      <c r="C23" s="6" t="s">
        <v>65</v>
      </c>
      <c r="D23" s="7" t="str">
        <f aca="false">'Hito 3'!D11</f>
        <v>To Do</v>
      </c>
    </row>
    <row r="24" customFormat="false" ht="46.5" hidden="false" customHeight="true" outlineLevel="0" collapsed="false">
      <c r="A24" s="5" t="s">
        <v>66</v>
      </c>
      <c r="B24" s="6" t="s">
        <v>67</v>
      </c>
      <c r="C24" s="6" t="s">
        <v>68</v>
      </c>
      <c r="D24" s="7" t="str">
        <f aca="false">'Hito 3'!D12</f>
        <v>To Do</v>
      </c>
    </row>
    <row r="25" customFormat="false" ht="46.5" hidden="false" customHeight="true" outlineLevel="0" collapsed="false">
      <c r="A25" s="5" t="s">
        <v>69</v>
      </c>
      <c r="B25" s="6" t="s">
        <v>70</v>
      </c>
      <c r="C25" s="6" t="s">
        <v>71</v>
      </c>
      <c r="D25" s="7" t="str">
        <f aca="false">'Hito 3'!D13</f>
        <v>To Do</v>
      </c>
    </row>
    <row r="26" customFormat="false" ht="46.5" hidden="false" customHeight="true" outlineLevel="0" collapsed="false">
      <c r="A26" s="5" t="s">
        <v>72</v>
      </c>
      <c r="B26" s="6" t="s">
        <v>73</v>
      </c>
      <c r="C26" s="6" t="s">
        <v>74</v>
      </c>
      <c r="D26" s="7" t="str">
        <f aca="false">'Hito 3'!D14</f>
        <v>To Do</v>
      </c>
    </row>
    <row r="27" customFormat="false" ht="60" hidden="false" customHeight="true" outlineLevel="0" collapsed="false">
      <c r="A27" s="5" t="s">
        <v>75</v>
      </c>
      <c r="B27" s="6" t="s">
        <v>76</v>
      </c>
      <c r="C27" s="6" t="s">
        <v>77</v>
      </c>
      <c r="D27" s="7" t="str">
        <f aca="false">'Hito 3'!D15</f>
        <v>To Do</v>
      </c>
    </row>
    <row r="28" customFormat="false" ht="46.5" hidden="false" customHeight="true" outlineLevel="0" collapsed="false">
      <c r="A28" s="5" t="s">
        <v>80</v>
      </c>
      <c r="B28" s="6" t="s">
        <v>81</v>
      </c>
      <c r="C28" s="6" t="s">
        <v>82</v>
      </c>
      <c r="D28" s="7" t="str">
        <f aca="false">'Hito 4'!D6</f>
        <v>To Do</v>
      </c>
    </row>
    <row r="29" customFormat="false" ht="33.75" hidden="false" customHeight="true" outlineLevel="0" collapsed="false">
      <c r="A29" s="5" t="s">
        <v>83</v>
      </c>
      <c r="B29" s="6" t="s">
        <v>84</v>
      </c>
      <c r="C29" s="6" t="s">
        <v>85</v>
      </c>
      <c r="D29" s="7" t="str">
        <f aca="false">'Hito 4'!D7</f>
        <v>To Do</v>
      </c>
    </row>
    <row r="30" customFormat="false" ht="46.5" hidden="false" customHeight="true" outlineLevel="0" collapsed="false">
      <c r="A30" s="5" t="s">
        <v>86</v>
      </c>
      <c r="B30" s="6" t="s">
        <v>87</v>
      </c>
      <c r="C30" s="6" t="s">
        <v>88</v>
      </c>
      <c r="D30" s="7" t="str">
        <f aca="false">'Hito 4'!D8</f>
        <v>To Do</v>
      </c>
    </row>
    <row r="31" customFormat="false" ht="33.75" hidden="false" customHeight="true" outlineLevel="0" collapsed="false">
      <c r="A31" s="5" t="s">
        <v>89</v>
      </c>
      <c r="B31" s="6" t="s">
        <v>90</v>
      </c>
      <c r="C31" s="6" t="s">
        <v>91</v>
      </c>
      <c r="D31" s="7" t="str">
        <f aca="false">'Hito 4'!D9</f>
        <v>To Do</v>
      </c>
    </row>
    <row r="32" customFormat="false" ht="33.75" hidden="false" customHeight="true" outlineLevel="0" collapsed="false">
      <c r="A32" s="5" t="s">
        <v>92</v>
      </c>
      <c r="B32" s="6" t="s">
        <v>93</v>
      </c>
      <c r="C32" s="6" t="s">
        <v>94</v>
      </c>
      <c r="D32" s="7" t="str">
        <f aca="false">'Hito 4'!D10</f>
        <v>To Do</v>
      </c>
    </row>
    <row r="33" customFormat="false" ht="46.5" hidden="false" customHeight="true" outlineLevel="0" collapsed="false">
      <c r="A33" s="5" t="s">
        <v>95</v>
      </c>
      <c r="B33" s="6" t="s">
        <v>96</v>
      </c>
      <c r="C33" s="6" t="s">
        <v>97</v>
      </c>
      <c r="D33" s="7" t="str">
        <f aca="false">'Hito 4'!D11</f>
        <v>To Do</v>
      </c>
    </row>
    <row r="34" customFormat="false" ht="46.5" hidden="false" customHeight="true" outlineLevel="0" collapsed="false">
      <c r="A34" s="5" t="s">
        <v>100</v>
      </c>
      <c r="B34" s="6" t="s">
        <v>101</v>
      </c>
      <c r="C34" s="6" t="s">
        <v>102</v>
      </c>
      <c r="D34" s="7" t="str">
        <f aca="false">'Hito 5'!D6</f>
        <v>To Do</v>
      </c>
    </row>
    <row r="35" customFormat="false" ht="46.5" hidden="false" customHeight="true" outlineLevel="0" collapsed="false">
      <c r="A35" s="5" t="s">
        <v>103</v>
      </c>
      <c r="B35" s="6" t="s">
        <v>104</v>
      </c>
      <c r="C35" s="6" t="s">
        <v>105</v>
      </c>
      <c r="D35" s="7" t="str">
        <f aca="false">'Hito 5'!D7</f>
        <v>To Do</v>
      </c>
    </row>
    <row r="36" customFormat="false" ht="46.5" hidden="false" customHeight="true" outlineLevel="0" collapsed="false">
      <c r="A36" s="5" t="s">
        <v>106</v>
      </c>
      <c r="B36" s="6" t="s">
        <v>107</v>
      </c>
      <c r="C36" s="6" t="s">
        <v>108</v>
      </c>
      <c r="D36" s="7" t="str">
        <f aca="false">'Hito 5'!D8</f>
        <v>To Do</v>
      </c>
    </row>
    <row r="37" customFormat="false" ht="33.75" hidden="false" customHeight="true" outlineLevel="0" collapsed="false">
      <c r="A37" s="5" t="s">
        <v>109</v>
      </c>
      <c r="B37" s="6" t="s">
        <v>110</v>
      </c>
      <c r="C37" s="6" t="s">
        <v>111</v>
      </c>
      <c r="D37" s="7" t="str">
        <f aca="false">'Hito 5'!D9</f>
        <v>To Do</v>
      </c>
    </row>
    <row r="38" customFormat="false" ht="33.75" hidden="false" customHeight="true" outlineLevel="0" collapsed="false">
      <c r="A38" s="5" t="s">
        <v>112</v>
      </c>
      <c r="B38" s="6" t="s">
        <v>113</v>
      </c>
      <c r="C38" s="6" t="s">
        <v>114</v>
      </c>
      <c r="D38" s="7" t="str">
        <f aca="false">'Hito 5'!D10</f>
        <v>To Do</v>
      </c>
    </row>
    <row r="39" customFormat="false" ht="33.75" hidden="false" customHeight="true" outlineLevel="0" collapsed="false">
      <c r="A39" s="5" t="s">
        <v>115</v>
      </c>
      <c r="B39" s="6" t="s">
        <v>116</v>
      </c>
      <c r="C39" s="6" t="s">
        <v>117</v>
      </c>
      <c r="D39" s="7" t="str">
        <f aca="false">'Hito 5'!D11</f>
        <v>To Do</v>
      </c>
    </row>
    <row r="40" customFormat="false" ht="46.5" hidden="false" customHeight="true" outlineLevel="0" collapsed="false">
      <c r="A40" s="5" t="s">
        <v>118</v>
      </c>
      <c r="B40" s="6" t="s">
        <v>119</v>
      </c>
      <c r="C40" s="6" t="s">
        <v>120</v>
      </c>
      <c r="D40" s="7" t="str">
        <f aca="false">'Hito 5'!D12</f>
        <v>To Do</v>
      </c>
    </row>
    <row r="41" customFormat="false" ht="33.75" hidden="false" customHeight="true" outlineLevel="0" collapsed="false">
      <c r="A41" s="5" t="s">
        <v>121</v>
      </c>
      <c r="B41" s="6" t="s">
        <v>122</v>
      </c>
      <c r="C41" s="6" t="s">
        <v>123</v>
      </c>
      <c r="D41" s="7" t="str">
        <f aca="false">'Hito 5'!D13</f>
        <v>To Do</v>
      </c>
    </row>
    <row r="42" customFormat="false" ht="46.5" hidden="false" customHeight="true" outlineLevel="0" collapsed="false">
      <c r="A42" s="5" t="s">
        <v>124</v>
      </c>
      <c r="B42" s="6" t="s">
        <v>125</v>
      </c>
      <c r="C42" s="6" t="s">
        <v>126</v>
      </c>
      <c r="D42" s="7" t="str">
        <f aca="false">'Hito 5'!D14</f>
        <v>To Do</v>
      </c>
    </row>
  </sheetData>
  <autoFilter ref="A5:D42"/>
  <mergeCells count="3">
    <mergeCell ref="A1:D1"/>
    <mergeCell ref="A2:D2"/>
    <mergeCell ref="A3:D3"/>
  </mergeCells>
  <conditionalFormatting sqref="A6:D42">
    <cfRule type="expression" priority="2" aboveAverage="0" equalAverage="0" bottom="0" percent="0" rank="0" text="" dxfId="4">
      <formula>$D6="To Do"</formula>
    </cfRule>
    <cfRule type="expression" priority="3" aboveAverage="0" equalAverage="0" bottom="0" percent="0" rank="0" text="" dxfId="5">
      <formula>$D6="In Progress"</formula>
    </cfRule>
    <cfRule type="expression" priority="4" aboveAverage="0" equalAverage="0" bottom="0" percent="0" rank="0" text="" dxfId="6">
      <formula>$D6="In Review"</formula>
    </cfRule>
    <cfRule type="expression" priority="5" aboveAverage="0" equalAverage="0" bottom="0" percent="0" rank="0" text="" dxfId="7">
      <formula>$D6="DONE"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2026-09-24T16:51:50Z</dcterms:created>
  <dc:creator>openpyxl</dc:creator>
  <dc:description/>
  <dc:language>en-US</dc:language>
  <cp:lastModifiedBy/>
  <dcterms:modified xsi:type="dcterms:W3CDTF">2026-09-24T18:51:51Z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